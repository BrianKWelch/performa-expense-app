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850d608367be0a6/Documents/Integritty1LLC Projects/Performa/Monthly Paperwork/Expense Reports/"/>
    </mc:Choice>
  </mc:AlternateContent>
  <xr:revisionPtr revIDLastSave="26" documentId="13_ncr:1_{DC527DA2-0D8C-4D11-AD7B-55C30C7B7235}" xr6:coauthVersionLast="47" xr6:coauthVersionMax="47" xr10:uidLastSave="{4E1929CD-0AD8-4F2C-AFA3-F5AB98181FA1}"/>
  <bookViews>
    <workbookView xWindow="-93" yWindow="-93" windowWidth="19386" windowHeight="12266" xr2:uid="{EED3E8C2-8C17-433A-9C6F-C27042C7D6D8}"/>
  </bookViews>
  <sheets>
    <sheet name="Traveler Expense 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4" l="1"/>
  <c r="G18" i="4"/>
  <c r="K6" i="4" l="1"/>
  <c r="L10" i="4"/>
  <c r="G10" i="4" l="1"/>
  <c r="C10" i="4"/>
  <c r="D10" i="4"/>
  <c r="E10" i="4"/>
  <c r="F10" i="4"/>
  <c r="H10" i="4"/>
  <c r="I10" i="4"/>
  <c r="J10" i="4"/>
  <c r="B10" i="4"/>
  <c r="K3" i="4"/>
  <c r="K4" i="4"/>
  <c r="K5" i="4"/>
  <c r="K10" i="4"/>
  <c r="C1" i="4" l="1"/>
  <c r="G16" i="4" s="1"/>
  <c r="G20" i="4" s="1"/>
  <c r="G21" i="4" s="1"/>
</calcChain>
</file>

<file path=xl/sharedStrings.xml><?xml version="1.0" encoding="utf-8"?>
<sst xmlns="http://schemas.openxmlformats.org/spreadsheetml/2006/main" count="29" uniqueCount="29">
  <si>
    <t xml:space="preserve">DATE:  </t>
  </si>
  <si>
    <t>Per Diem - Breakfast</t>
  </si>
  <si>
    <t xml:space="preserve">Per Diem - Lunch </t>
  </si>
  <si>
    <t>Per Diem - Dinner</t>
  </si>
  <si>
    <t>Per Diem - Incidentals</t>
  </si>
  <si>
    <t>Airfare</t>
  </si>
  <si>
    <t>Lodging</t>
  </si>
  <si>
    <t>Vehicle Mileage</t>
  </si>
  <si>
    <t xml:space="preserve">Miscellaneous Travel </t>
  </si>
  <si>
    <t xml:space="preserve">M &amp; IE Totals </t>
  </si>
  <si>
    <t>M &amp; IE MAX</t>
  </si>
  <si>
    <t>TOTALS</t>
  </si>
  <si>
    <t xml:space="preserve">GSA M &amp; IE Rates for Perdiem </t>
  </si>
  <si>
    <t xml:space="preserve">Amount </t>
  </si>
  <si>
    <t xml:space="preserve">Breakfast </t>
  </si>
  <si>
    <t xml:space="preserve">Lunch </t>
  </si>
  <si>
    <t>Dinner</t>
  </si>
  <si>
    <t xml:space="preserve">Incidentals </t>
  </si>
  <si>
    <t xml:space="preserve">Notes / Descriptions </t>
  </si>
  <si>
    <t>Chantay Benitez</t>
  </si>
  <si>
    <t>Rental Car</t>
  </si>
  <si>
    <t>Total Expense Report</t>
  </si>
  <si>
    <t>Amout Charged to Performa Card for Hotel</t>
  </si>
  <si>
    <t>Amout for Hotel only on Performa Card</t>
  </si>
  <si>
    <t>Amount for Market at hotel on Performa Card</t>
  </si>
  <si>
    <t>For Killol's Notes</t>
  </si>
  <si>
    <t>Amount due to Performa</t>
  </si>
  <si>
    <t>Amount due to Brian*</t>
  </si>
  <si>
    <t>* This will be the amout you will see on my invoice. If you don’t agree let me know NOW.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</si>
</sst>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44" fontId="0" fillId="0" borderId="0" xfId="0" applyNumberFormat="1"/>
    <xf numFmtId="14" fontId="2" fillId="0" borderId="0" xfId="0" applyNumberFormat="1" applyFont="1" applyAlignment="1">
      <alignment horizontal="right"/>
    </xf>
    <xf numFmtId="44" fontId="3" fillId="3" borderId="0" xfId="0" applyNumberFormat="1" applyFont="1" applyFill="1"/>
    <xf numFmtId="14" fontId="2" fillId="4" borderId="0" xfId="0" applyNumberFormat="1" applyFont="1" applyFill="1" applyAlignment="1">
      <alignment horizontal="right"/>
    </xf>
    <xf numFmtId="44" fontId="3" fillId="4" borderId="0" xfId="0" applyNumberFormat="1" applyFont="1" applyFill="1"/>
    <xf numFmtId="0" fontId="3" fillId="0" borderId="0" xfId="0" applyFont="1"/>
    <xf numFmtId="44" fontId="0" fillId="0" borderId="1" xfId="0" applyNumberFormat="1" applyBorder="1"/>
    <xf numFmtId="44" fontId="0" fillId="0" borderId="4" xfId="0" applyNumberFormat="1" applyBorder="1"/>
    <xf numFmtId="44" fontId="0" fillId="3" borderId="4" xfId="0" applyNumberFormat="1" applyFill="1" applyBorder="1"/>
    <xf numFmtId="0" fontId="0" fillId="3" borderId="0" xfId="0" applyFill="1"/>
    <xf numFmtId="0" fontId="0" fillId="0" borderId="5" xfId="0" applyBorder="1"/>
    <xf numFmtId="44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1" fillId="2" borderId="0" xfId="0" applyFont="1" applyFill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14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B716AE-118F-4C0A-ABFB-758747F9CA03}" name="Table1" displayName="Table1" ref="A2:M10" totalsRowShown="0">
  <autoFilter ref="A2:M10" xr:uid="{F0B716AE-118F-4C0A-ABFB-758747F9CA03}"/>
  <tableColumns count="13">
    <tableColumn id="1" xr3:uid="{DB618DAB-2C8A-4D62-A63B-DD889BBC64E9}" name="DATE:  " dataDxfId="13"/>
    <tableColumn id="2" xr3:uid="{BE00D7F9-46EB-4935-8427-D6BC9A22E5BB}" name="Per Diem - Breakfast" dataDxfId="12"/>
    <tableColumn id="3" xr3:uid="{71E485A3-65EA-4AAF-8158-D025CDEC45F5}" name="Per Diem - Lunch " dataDxfId="11"/>
    <tableColumn id="4" xr3:uid="{D61FA785-0908-44E1-B306-14D7F34A3FB0}" name="Per Diem - Dinner" dataDxfId="10"/>
    <tableColumn id="5" xr3:uid="{D97DE5E2-C3C1-40BC-969C-0B7FFFC51E52}" name="Per Diem - Incidentals" dataDxfId="9"/>
    <tableColumn id="6" xr3:uid="{3E06C497-11C7-4CD3-A7F1-BC8B92A8FEED}" name="Airfare" dataDxfId="8"/>
    <tableColumn id="7" xr3:uid="{F2538FB5-F996-4B5A-A426-0A614B3B50FD}" name="Lodging" dataDxfId="7"/>
    <tableColumn id="8" xr3:uid="{F08B6B33-504A-4B5A-9105-736C3C6C2BEE}" name="Vehicle Mileage" dataDxfId="6"/>
    <tableColumn id="9" xr3:uid="{93975709-A70A-46A6-B135-3F577BB630AA}" name="Rental Car" dataDxfId="5"/>
    <tableColumn id="10" xr3:uid="{5EEB3F4A-9584-4B39-B2AD-9F8138225EA2}" name="Miscellaneous Travel " dataDxfId="4"/>
    <tableColumn id="12" xr3:uid="{D9760650-AFC3-4843-90DF-ADD1D42D80F2}" name="M &amp; IE Totals " dataDxfId="3">
      <calculatedColumnFormula>SUM(B3:E3)</calculatedColumnFormula>
    </tableColumn>
    <tableColumn id="11" xr3:uid="{30D8BEF2-E535-4798-BC2C-A13A8354CA59}" name="M &amp; IE MAX" dataDxfId="2">
      <calculatedColumnFormula>SUM(B3:E3)</calculatedColumnFormula>
    </tableColumn>
    <tableColumn id="13" xr3:uid="{AF1FB8DC-4B0A-4036-A780-26A3E3B5972A}" name="Notes / Descriptions 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36F75F-8EBC-4816-860C-D9036FCD047A}" name="Table3" displayName="Table3" ref="A13:B17" totalsRowShown="0">
  <autoFilter ref="A13:B17" xr:uid="{C136F75F-8EBC-4816-860C-D9036FCD047A}"/>
  <tableColumns count="2">
    <tableColumn id="1" xr3:uid="{1B45BD6D-95B9-4871-BB60-1B65F6D148B4}" name="GSA M &amp; IE Rates for Perdiem "/>
    <tableColumn id="2" xr3:uid="{DA635502-965A-49A5-A1B2-704FC27064B0}" name="Amount 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989E5-C642-4FEC-8EAE-5C4CA8BFC737}">
  <sheetPr>
    <pageSetUpPr fitToPage="1"/>
  </sheetPr>
  <dimension ref="A1:M23"/>
  <sheetViews>
    <sheetView tabSelected="1" zoomScale="90" zoomScaleNormal="90" workbookViewId="0">
      <selection activeCell="E19" sqref="E19"/>
    </sheetView>
  </sheetViews>
  <sheetFormatPr defaultColWidth="8.796875" defaultRowHeight="14.25" x14ac:dyDescent="0.45"/>
  <cols>
    <col min="1" max="1" width="11" customWidth="1"/>
    <col min="2" max="2" width="21.19921875" bestFit="1" customWidth="1"/>
    <col min="3" max="3" width="18.33203125" bestFit="1" customWidth="1"/>
    <col min="4" max="4" width="17.33203125" bestFit="1" customWidth="1"/>
    <col min="5" max="5" width="22.6640625" bestFit="1" customWidth="1"/>
    <col min="6" max="6" width="9.19921875" bestFit="1" customWidth="1"/>
    <col min="7" max="7" width="11.33203125" bestFit="1" customWidth="1"/>
    <col min="8" max="8" width="17.19921875" bestFit="1" customWidth="1"/>
    <col min="9" max="9" width="13.33203125" bestFit="1" customWidth="1"/>
    <col min="10" max="10" width="22.19921875" bestFit="1" customWidth="1"/>
    <col min="11" max="11" width="22.19921875" customWidth="1"/>
    <col min="12" max="12" width="15.6640625" bestFit="1" customWidth="1"/>
    <col min="13" max="13" width="35.33203125" bestFit="1" customWidth="1"/>
    <col min="14" max="14" width="33.33203125" customWidth="1"/>
  </cols>
  <sheetData>
    <row r="1" spans="1:13" x14ac:dyDescent="0.45">
      <c r="A1" s="17" t="s">
        <v>19</v>
      </c>
      <c r="B1" s="17"/>
      <c r="C1" s="4">
        <f>SUM(F10:K10)</f>
        <v>2088.9299999999998</v>
      </c>
    </row>
    <row r="2" spans="1:13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20</v>
      </c>
      <c r="J2" t="s">
        <v>8</v>
      </c>
      <c r="K2" t="s">
        <v>9</v>
      </c>
      <c r="L2" t="s">
        <v>10</v>
      </c>
      <c r="M2" t="s">
        <v>18</v>
      </c>
    </row>
    <row r="3" spans="1:13" x14ac:dyDescent="0.45">
      <c r="A3" s="1">
        <v>45980</v>
      </c>
      <c r="B3" s="2">
        <v>0</v>
      </c>
      <c r="C3" s="2">
        <v>0</v>
      </c>
      <c r="D3" s="2">
        <v>0</v>
      </c>
      <c r="E3" s="2">
        <v>51</v>
      </c>
      <c r="F3" s="2">
        <v>877.13</v>
      </c>
      <c r="G3" s="2">
        <v>124.37</v>
      </c>
      <c r="H3" s="2"/>
      <c r="I3" s="2">
        <v>495.85</v>
      </c>
      <c r="J3" s="2"/>
      <c r="K3" s="2">
        <f>SUM(B3:E3)</f>
        <v>51</v>
      </c>
      <c r="L3" s="2">
        <v>51</v>
      </c>
      <c r="M3" s="2"/>
    </row>
    <row r="4" spans="1:13" x14ac:dyDescent="0.45">
      <c r="A4" s="1">
        <v>45981</v>
      </c>
      <c r="B4" s="2">
        <v>0</v>
      </c>
      <c r="C4" s="2">
        <v>0</v>
      </c>
      <c r="D4" s="2">
        <v>0</v>
      </c>
      <c r="E4" s="2">
        <v>68</v>
      </c>
      <c r="F4" s="2"/>
      <c r="G4" s="2">
        <v>124.37</v>
      </c>
      <c r="H4" s="2"/>
      <c r="I4" s="2"/>
      <c r="J4" s="2"/>
      <c r="K4" s="2">
        <f t="shared" ref="K4:K5" si="0">SUM(B4:E4)</f>
        <v>68</v>
      </c>
      <c r="L4" s="2">
        <v>68</v>
      </c>
      <c r="M4" s="2"/>
    </row>
    <row r="5" spans="1:13" x14ac:dyDescent="0.45">
      <c r="A5" s="1">
        <v>45982</v>
      </c>
      <c r="B5" s="2">
        <v>0</v>
      </c>
      <c r="C5" s="2">
        <v>0</v>
      </c>
      <c r="D5" s="2">
        <v>0</v>
      </c>
      <c r="E5" s="2">
        <v>68</v>
      </c>
      <c r="F5" s="2"/>
      <c r="G5" s="2">
        <v>179.77</v>
      </c>
      <c r="H5" s="2"/>
      <c r="I5" s="2">
        <v>0</v>
      </c>
      <c r="J5" s="2"/>
      <c r="K5" s="2">
        <f t="shared" si="0"/>
        <v>68</v>
      </c>
      <c r="L5" s="2">
        <v>68</v>
      </c>
      <c r="M5" s="2"/>
    </row>
    <row r="6" spans="1:13" x14ac:dyDescent="0.45">
      <c r="A6" s="1">
        <v>45983</v>
      </c>
      <c r="B6" s="2">
        <v>0</v>
      </c>
      <c r="C6" s="2">
        <v>0</v>
      </c>
      <c r="D6" s="2">
        <v>0</v>
      </c>
      <c r="E6" s="2">
        <v>51</v>
      </c>
      <c r="F6" s="2"/>
      <c r="G6" s="2"/>
      <c r="H6" s="2"/>
      <c r="I6" s="2">
        <v>25.03</v>
      </c>
      <c r="J6" s="2"/>
      <c r="K6" s="2">
        <f t="shared" ref="K6" si="1">SUM(B6:E6)</f>
        <v>51</v>
      </c>
      <c r="L6" s="2">
        <v>68</v>
      </c>
      <c r="M6" s="2"/>
    </row>
    <row r="7" spans="1:13" x14ac:dyDescent="0.45">
      <c r="A7" s="1"/>
      <c r="B7" s="2"/>
      <c r="C7" s="2"/>
      <c r="D7" s="2"/>
      <c r="E7" s="2"/>
      <c r="F7" s="2"/>
      <c r="G7" s="2"/>
      <c r="H7" s="2"/>
      <c r="I7" s="2">
        <v>24.41</v>
      </c>
      <c r="J7" s="2"/>
      <c r="K7" s="2"/>
      <c r="L7" s="2"/>
      <c r="M7" s="2"/>
    </row>
    <row r="8" spans="1:13" x14ac:dyDescent="0.4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45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s="7" customFormat="1" x14ac:dyDescent="0.45">
      <c r="A10" s="5" t="s">
        <v>11</v>
      </c>
      <c r="B10" s="6">
        <f>SUBTOTAL(109,B3:B9)</f>
        <v>0</v>
      </c>
      <c r="C10" s="6">
        <f t="shared" ref="C10:I10" si="2">SUBTOTAL(109,C3:C9)</f>
        <v>0</v>
      </c>
      <c r="D10" s="6">
        <f t="shared" si="2"/>
        <v>0</v>
      </c>
      <c r="E10" s="6">
        <f t="shared" si="2"/>
        <v>238</v>
      </c>
      <c r="F10" s="6">
        <f t="shared" si="2"/>
        <v>877.13</v>
      </c>
      <c r="G10" s="6">
        <f>SUBTOTAL(109,G3:G9)</f>
        <v>428.51</v>
      </c>
      <c r="H10" s="6">
        <f t="shared" si="2"/>
        <v>0</v>
      </c>
      <c r="I10" s="6">
        <f t="shared" si="2"/>
        <v>545.29</v>
      </c>
      <c r="J10" s="6">
        <f>SUBTOTAL(109,J3:J6)</f>
        <v>0</v>
      </c>
      <c r="K10" s="6">
        <f>SUBTOTAL(109,K3:K9)</f>
        <v>238</v>
      </c>
      <c r="L10" s="6">
        <f>SUBTOTAL(109,L3:L9)</f>
        <v>255</v>
      </c>
      <c r="M10" s="6"/>
    </row>
    <row r="11" spans="1:13" x14ac:dyDescent="0.45">
      <c r="A11" s="3"/>
      <c r="L11" s="2"/>
    </row>
    <row r="13" spans="1:13" x14ac:dyDescent="0.45">
      <c r="A13" t="s">
        <v>12</v>
      </c>
      <c r="B13" t="s">
        <v>13</v>
      </c>
    </row>
    <row r="14" spans="1:13" x14ac:dyDescent="0.45">
      <c r="A14" t="s">
        <v>14</v>
      </c>
      <c r="B14" s="2">
        <v>16</v>
      </c>
    </row>
    <row r="15" spans="1:13" ht="14.65" thickBot="1" x14ac:dyDescent="0.5">
      <c r="A15" t="s">
        <v>15</v>
      </c>
      <c r="B15" s="2">
        <v>19</v>
      </c>
      <c r="D15" s="2"/>
      <c r="G15" s="23" t="s">
        <v>25</v>
      </c>
      <c r="H15" s="23"/>
      <c r="I15" s="23"/>
      <c r="J15" s="23"/>
    </row>
    <row r="16" spans="1:13" x14ac:dyDescent="0.45">
      <c r="A16" t="s">
        <v>16</v>
      </c>
      <c r="B16" s="2">
        <v>28</v>
      </c>
      <c r="D16" s="2"/>
      <c r="E16" s="2"/>
      <c r="G16" s="8">
        <f>C1</f>
        <v>2088.9299999999998</v>
      </c>
      <c r="H16" s="21" t="s">
        <v>21</v>
      </c>
      <c r="I16" s="21"/>
      <c r="J16" s="22"/>
    </row>
    <row r="17" spans="1:13" x14ac:dyDescent="0.45">
      <c r="A17" t="s">
        <v>17</v>
      </c>
      <c r="B17" s="2">
        <v>5</v>
      </c>
      <c r="G17" s="9">
        <v>460.9</v>
      </c>
      <c r="H17" s="19" t="s">
        <v>22</v>
      </c>
      <c r="I17" s="19"/>
      <c r="J17" s="20"/>
    </row>
    <row r="18" spans="1:13" x14ac:dyDescent="0.45">
      <c r="G18" s="9">
        <f>G10</f>
        <v>428.51</v>
      </c>
      <c r="H18" s="19" t="s">
        <v>23</v>
      </c>
      <c r="I18" s="19"/>
      <c r="J18" s="20"/>
    </row>
    <row r="19" spans="1:13" x14ac:dyDescent="0.45">
      <c r="A19" s="18"/>
      <c r="B19" s="18"/>
      <c r="G19" s="9">
        <f>G17-G18</f>
        <v>32.389999999999986</v>
      </c>
      <c r="H19" s="19" t="s">
        <v>24</v>
      </c>
      <c r="I19" s="19"/>
      <c r="J19" s="20"/>
    </row>
    <row r="20" spans="1:13" x14ac:dyDescent="0.45">
      <c r="G20" s="10">
        <f>G16-G17</f>
        <v>1628.0299999999997</v>
      </c>
      <c r="H20" s="11" t="s">
        <v>27</v>
      </c>
      <c r="J20" s="12"/>
    </row>
    <row r="21" spans="1:13" ht="14.65" thickBot="1" x14ac:dyDescent="0.5">
      <c r="G21" s="13">
        <f>G16-G20</f>
        <v>460.90000000000009</v>
      </c>
      <c r="H21" s="14" t="s">
        <v>26</v>
      </c>
      <c r="I21" s="14"/>
      <c r="J21" s="15"/>
    </row>
    <row r="22" spans="1:13" x14ac:dyDescent="0.45">
      <c r="G22" s="16" t="s">
        <v>28</v>
      </c>
    </row>
    <row r="23" spans="1:13" x14ac:dyDescent="0.45">
      <c r="M23" s="2"/>
    </row>
  </sheetData>
  <mergeCells count="7">
    <mergeCell ref="A1:B1"/>
    <mergeCell ref="A19:B19"/>
    <mergeCell ref="H19:J19"/>
    <mergeCell ref="H18:J18"/>
    <mergeCell ref="H17:J17"/>
    <mergeCell ref="H16:J16"/>
    <mergeCell ref="G15:J15"/>
  </mergeCells>
  <pageMargins left="0.7" right="0.7" top="0.75" bottom="0.75" header="0.3" footer="0.3"/>
  <pageSetup scale="48" orientation="landscape" horizontalDpi="0" verticalDpi="0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A07FE278B51A47AF3B72797C8CE037" ma:contentTypeVersion="12" ma:contentTypeDescription="Create a new document." ma:contentTypeScope="" ma:versionID="e84314bf603b9ca032129dd3beec686b">
  <xsd:schema xmlns:xsd="http://www.w3.org/2001/XMLSchema" xmlns:xs="http://www.w3.org/2001/XMLSchema" xmlns:p="http://schemas.microsoft.com/office/2006/metadata/properties" xmlns:ns2="1e236354-d4d6-43dd-a162-62a4486069d7" xmlns:ns3="3e1b6e38-d8ae-4a6c-a0fe-6fe74244ba10" targetNamespace="http://schemas.microsoft.com/office/2006/metadata/properties" ma:root="true" ma:fieldsID="098ba3e3cea2b1ac0455216a290446c7" ns2:_="" ns3:_="">
    <xsd:import namespace="1e236354-d4d6-43dd-a162-62a4486069d7"/>
    <xsd:import namespace="3e1b6e38-d8ae-4a6c-a0fe-6fe74244ba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236354-d4d6-43dd-a162-62a4486069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720f3f2-c01f-44d7-bb1f-a19de911ac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b6e38-d8ae-4a6c-a0fe-6fe74244ba1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46bfb5-c373-4a9a-8a29-fddf1a725fb1}" ma:internalName="TaxCatchAll" ma:showField="CatchAllData" ma:web="3e1b6e38-d8ae-4a6c-a0fe-6fe74244ba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236354-d4d6-43dd-a162-62a4486069d7">
      <Terms xmlns="http://schemas.microsoft.com/office/infopath/2007/PartnerControls"/>
    </lcf76f155ced4ddcb4097134ff3c332f>
    <TaxCatchAll xmlns="3e1b6e38-d8ae-4a6c-a0fe-6fe74244ba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C9A63F-6250-47A3-B858-615089E42E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236354-d4d6-43dd-a162-62a4486069d7"/>
    <ds:schemaRef ds:uri="3e1b6e38-d8ae-4a6c-a0fe-6fe74244ba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30F39F-F9DF-4D8E-9F46-9A0F72E84806}">
  <ds:schemaRefs>
    <ds:schemaRef ds:uri="http://schemas.microsoft.com/office/2006/metadata/properties"/>
    <ds:schemaRef ds:uri="http://schemas.microsoft.com/office/infopath/2007/PartnerControls"/>
    <ds:schemaRef ds:uri="1e236354-d4d6-43dd-a162-62a4486069d7"/>
    <ds:schemaRef ds:uri="3e1b6e38-d8ae-4a6c-a0fe-6fe74244ba10"/>
  </ds:schemaRefs>
</ds:datastoreItem>
</file>

<file path=customXml/itemProps3.xml><?xml version="1.0" encoding="utf-8"?>
<ds:datastoreItem xmlns:ds="http://schemas.openxmlformats.org/officeDocument/2006/customXml" ds:itemID="{7CB56F1F-4E24-4310-B9F7-480C1A5B21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Traveler Expense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Janelle Joseph</dc:creator>
  <cp:keywords/>
  <dc:description/>
  <cp:lastModifiedBy>Brian Welch</cp:lastModifiedBy>
  <cp:revision/>
  <dcterms:created xsi:type="dcterms:W3CDTF">2024-12-17T01:17:08Z</dcterms:created>
  <dcterms:modified xsi:type="dcterms:W3CDTF">2026-02-18T23:22:32Z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0x010100E2A07FE278B51A47AF3B72797C8CE037</vt:lpwstr>
  </property>
  <property fmtid="{D5CDD505-2E9C-101B-9397-08002B2CF9AE}" pid="3" name="MediaServiceImageTags">
    <vt:lpwstr/>
  </property>
  <property fmtid="{D5CDD505-2E9C-101B-9397-08002B2CF9AE}" pid="4" name="Order">
    <vt:r8>74900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